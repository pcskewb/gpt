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F7542B20-A9F7-4487-A92E-66AA0074F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<sst xmlns="http://schemas.openxmlformats.org/spreadsheetml/2006/main" count="159" uniqueCount="57">
  <si>
    <t>Brand</t>
  </si>
  <si>
    <t>Spends Category</t>
  </si>
  <si>
    <t>Channel</t>
  </si>
  <si>
    <t>Platform</t>
  </si>
  <si>
    <t>Placement</t>
  </si>
  <si>
    <t>Current Sales (Cr)</t>
  </si>
  <si>
    <t>Coefficient</t>
  </si>
  <si>
    <t>CSF</t>
  </si>
  <si>
    <t>Current Spends (Cr)</t>
  </si>
  <si>
    <t>Minimum Spends (Cr)</t>
  </si>
  <si>
    <t>Maximum Spends (Cr)</t>
  </si>
  <si>
    <t>GSF</t>
  </si>
  <si>
    <t>Org</t>
  </si>
  <si>
    <t>Awareness</t>
  </si>
  <si>
    <t>Amazon</t>
  </si>
  <si>
    <t>DSP</t>
  </si>
  <si>
    <t>Audio</t>
  </si>
  <si>
    <t>Content</t>
  </si>
  <si>
    <t>DMP</t>
  </si>
  <si>
    <t>FILTERCOPY</t>
  </si>
  <si>
    <t>GDN</t>
  </si>
  <si>
    <t>HOTSTAR</t>
  </si>
  <si>
    <t>Influencer</t>
  </si>
  <si>
    <t>Instagram</t>
  </si>
  <si>
    <t>Youtube</t>
  </si>
  <si>
    <t>MACRO</t>
  </si>
  <si>
    <t>MICRO</t>
  </si>
  <si>
    <t>SHORTS</t>
  </si>
  <si>
    <t>INSHORTS</t>
  </si>
  <si>
    <t>META</t>
  </si>
  <si>
    <t>MINITV</t>
  </si>
  <si>
    <t>OTT Others</t>
  </si>
  <si>
    <t>Snapchat</t>
  </si>
  <si>
    <t>TV</t>
  </si>
  <si>
    <t>YT</t>
  </si>
  <si>
    <t>Performance</t>
  </si>
  <si>
    <t>CPM</t>
  </si>
  <si>
    <t>SB</t>
  </si>
  <si>
    <t>SD</t>
  </si>
  <si>
    <t>SP</t>
  </si>
  <si>
    <t>CRM</t>
  </si>
  <si>
    <t>AFFILIATE</t>
  </si>
  <si>
    <t>EMAIL</t>
  </si>
  <si>
    <t>EPSILON</t>
  </si>
  <si>
    <t>PARTNERSHIP</t>
  </si>
  <si>
    <t>Push Notifications</t>
  </si>
  <si>
    <t>RevX</t>
  </si>
  <si>
    <t>SMS</t>
  </si>
  <si>
    <t>WHATSAPP</t>
  </si>
  <si>
    <t>Flipkart</t>
  </si>
  <si>
    <t>PCA</t>
  </si>
  <si>
    <t>PLA</t>
  </si>
  <si>
    <t>GOOGLE</t>
  </si>
  <si>
    <t>ACE</t>
  </si>
  <si>
    <t>ACI</t>
  </si>
  <si>
    <t>NPMAX</t>
  </si>
  <si>
    <t>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</si>
</sst>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M2" sqref="M2:M40"/>
    </sheetView>
  </sheetViews>
  <sheetFormatPr defaultRowHeight="15" x14ac:dyDescent="0.25"/>
  <cols>
    <col min="1" max="1" width="6.140625" bestFit="1" customWidth="1"/>
    <col min="2" max="2" width="15.85546875" bestFit="1" customWidth="1"/>
    <col min="3" max="3" width="11.28515625" bestFit="1" customWidth="1"/>
    <col min="4" max="4" width="17.42578125" bestFit="1" customWidth="1"/>
    <col min="5" max="5" width="10.42578125" bestFit="1" customWidth="1"/>
    <col min="6" max="6" width="16.5703125" bestFit="1" customWidth="1"/>
    <col min="7" max="7" width="12" bestFit="1" customWidth="1"/>
    <col min="8" max="8" width="4.140625" bestFit="1" customWidth="1"/>
    <col min="9" max="9" width="18.5703125" bestFit="1" customWidth="1"/>
    <col min="10" max="10" width="20.42578125" bestFit="1" customWidth="1"/>
    <col min="11" max="11" width="20.7109375" bestFit="1" customWidth="1"/>
    <col min="12" max="12" width="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1110</v>
      </c>
      <c r="G2">
        <v>3.5630279333396707E-2</v>
      </c>
      <c r="H2">
        <v>105</v>
      </c>
      <c r="I2">
        <v>2.98</v>
      </c>
      <c r="J2">
        <f t="shared" ref="J2:J40" si="0">I2/5</f>
        <v>0.59599999999999997</v>
      </c>
      <c r="K2">
        <f t="shared" ref="K2:K40" si="1">I2*5</f>
        <v>14.9</v>
      </c>
      <c r="L2">
        <v>0.99999999999999989</v>
      </c>
    </row>
    <row r="3" spans="1:12" x14ac:dyDescent="0.25">
      <c r="A3" t="s">
        <v>12</v>
      </c>
      <c r="B3" t="s">
        <v>13</v>
      </c>
      <c r="C3" t="s">
        <v>16</v>
      </c>
      <c r="F3">
        <v>1110</v>
      </c>
      <c r="G3">
        <v>9.5636353422727284E-3</v>
      </c>
      <c r="H3">
        <v>45</v>
      </c>
      <c r="I3">
        <v>0.34</v>
      </c>
      <c r="J3">
        <f t="shared" si="0"/>
        <v>6.8000000000000005E-2</v>
      </c>
      <c r="K3">
        <f t="shared" si="1"/>
        <v>1.7000000000000002</v>
      </c>
      <c r="L3">
        <v>1</v>
      </c>
    </row>
    <row r="4" spans="1:12" x14ac:dyDescent="0.25">
      <c r="A4" t="s">
        <v>12</v>
      </c>
      <c r="B4" t="s">
        <v>13</v>
      </c>
      <c r="C4" t="s">
        <v>17</v>
      </c>
      <c r="F4">
        <v>1110</v>
      </c>
      <c r="G4">
        <v>1.451852465712121E-2</v>
      </c>
      <c r="H4">
        <v>120</v>
      </c>
      <c r="I4">
        <v>1.49</v>
      </c>
      <c r="J4">
        <f t="shared" si="0"/>
        <v>0.29799999999999999</v>
      </c>
      <c r="K4">
        <f t="shared" si="1"/>
        <v>7.45</v>
      </c>
      <c r="L4">
        <v>0.99999999999999989</v>
      </c>
    </row>
    <row r="5" spans="1:12" x14ac:dyDescent="0.25">
      <c r="A5" t="s">
        <v>12</v>
      </c>
      <c r="B5" t="s">
        <v>13</v>
      </c>
      <c r="C5" t="s">
        <v>18</v>
      </c>
      <c r="F5">
        <v>1110</v>
      </c>
      <c r="G5">
        <v>4.8361264600000004E-3</v>
      </c>
      <c r="H5">
        <v>60</v>
      </c>
      <c r="I5">
        <v>0.16</v>
      </c>
      <c r="J5">
        <f t="shared" si="0"/>
        <v>3.2000000000000001E-2</v>
      </c>
      <c r="K5">
        <f t="shared" si="1"/>
        <v>0.8</v>
      </c>
      <c r="L5">
        <v>1</v>
      </c>
    </row>
    <row r="6" spans="1:12" x14ac:dyDescent="0.25">
      <c r="A6" t="s">
        <v>12</v>
      </c>
      <c r="B6" t="s">
        <v>13</v>
      </c>
      <c r="C6" t="s">
        <v>19</v>
      </c>
      <c r="F6">
        <v>1110</v>
      </c>
      <c r="G6">
        <v>1.8528113240000001E-2</v>
      </c>
      <c r="H6">
        <v>75</v>
      </c>
      <c r="I6">
        <v>0.72</v>
      </c>
      <c r="J6">
        <f t="shared" si="0"/>
        <v>0.14399999999999999</v>
      </c>
      <c r="K6">
        <f t="shared" si="1"/>
        <v>3.5999999999999996</v>
      </c>
      <c r="L6">
        <v>1</v>
      </c>
    </row>
    <row r="7" spans="1:12" x14ac:dyDescent="0.25">
      <c r="A7" t="s">
        <v>12</v>
      </c>
      <c r="B7" t="s">
        <v>13</v>
      </c>
      <c r="C7" t="s">
        <v>20</v>
      </c>
      <c r="F7">
        <v>1110</v>
      </c>
      <c r="G7">
        <v>5.0618131399909087E-3</v>
      </c>
      <c r="H7">
        <v>75</v>
      </c>
      <c r="I7">
        <v>0.31</v>
      </c>
      <c r="J7">
        <f t="shared" si="0"/>
        <v>6.2E-2</v>
      </c>
      <c r="K7">
        <f t="shared" si="1"/>
        <v>1.55</v>
      </c>
      <c r="L7">
        <v>1</v>
      </c>
    </row>
    <row r="8" spans="1:12" x14ac:dyDescent="0.25">
      <c r="A8" t="s">
        <v>12</v>
      </c>
      <c r="B8" t="s">
        <v>13</v>
      </c>
      <c r="C8" t="s">
        <v>21</v>
      </c>
      <c r="F8">
        <v>1110</v>
      </c>
      <c r="G8">
        <v>5.2589014813643198E-2</v>
      </c>
      <c r="H8">
        <v>150</v>
      </c>
      <c r="I8">
        <v>5.8</v>
      </c>
      <c r="J8">
        <f t="shared" si="0"/>
        <v>1.1599999999999999</v>
      </c>
      <c r="K8">
        <f t="shared" si="1"/>
        <v>29</v>
      </c>
      <c r="L8">
        <v>0.99999999999999989</v>
      </c>
    </row>
    <row r="9" spans="1:12" x14ac:dyDescent="0.25">
      <c r="A9" t="s">
        <v>12</v>
      </c>
      <c r="B9" t="s">
        <v>13</v>
      </c>
      <c r="C9" t="s">
        <v>22</v>
      </c>
      <c r="D9" t="s">
        <v>23</v>
      </c>
      <c r="F9">
        <v>1110</v>
      </c>
      <c r="G9">
        <v>1.236559956363637E-2</v>
      </c>
      <c r="H9">
        <v>105</v>
      </c>
      <c r="I9">
        <v>3.11</v>
      </c>
      <c r="J9">
        <f t="shared" si="0"/>
        <v>0.622</v>
      </c>
      <c r="K9">
        <f t="shared" si="1"/>
        <v>15.549999999999999</v>
      </c>
      <c r="L9">
        <v>0.99999999999999989</v>
      </c>
    </row>
    <row r="10" spans="1:12" x14ac:dyDescent="0.25">
      <c r="A10" t="s">
        <v>12</v>
      </c>
      <c r="B10" t="s">
        <v>13</v>
      </c>
      <c r="C10" t="s">
        <v>22</v>
      </c>
      <c r="D10" t="s">
        <v>24</v>
      </c>
      <c r="E10" t="s">
        <v>25</v>
      </c>
      <c r="F10">
        <v>1110</v>
      </c>
      <c r="G10">
        <v>8.2981018946848853E-2</v>
      </c>
      <c r="H10">
        <v>195</v>
      </c>
      <c r="I10">
        <v>24.37</v>
      </c>
      <c r="J10">
        <f t="shared" si="0"/>
        <v>4.8740000000000006</v>
      </c>
      <c r="K10">
        <f t="shared" si="1"/>
        <v>121.85000000000001</v>
      </c>
      <c r="L10">
        <v>1</v>
      </c>
    </row>
    <row r="11" spans="1:12" x14ac:dyDescent="0.25">
      <c r="A11" t="s">
        <v>12</v>
      </c>
      <c r="B11" t="s">
        <v>13</v>
      </c>
      <c r="C11" t="s">
        <v>22</v>
      </c>
      <c r="D11" t="s">
        <v>24</v>
      </c>
      <c r="E11" t="s">
        <v>26</v>
      </c>
      <c r="F11">
        <v>1110</v>
      </c>
      <c r="G11">
        <v>1.4940265083820939E-2</v>
      </c>
      <c r="H11">
        <v>165</v>
      </c>
      <c r="I11">
        <v>4.9800000000000004</v>
      </c>
      <c r="J11">
        <f t="shared" si="0"/>
        <v>0.99600000000000011</v>
      </c>
      <c r="K11">
        <f t="shared" si="1"/>
        <v>24.900000000000002</v>
      </c>
      <c r="L11">
        <v>0.99999999999999989</v>
      </c>
    </row>
    <row r="12" spans="1:12" x14ac:dyDescent="0.25">
      <c r="A12" t="s">
        <v>12</v>
      </c>
      <c r="B12" t="s">
        <v>13</v>
      </c>
      <c r="C12" t="s">
        <v>22</v>
      </c>
      <c r="D12" t="s">
        <v>24</v>
      </c>
      <c r="E12" t="s">
        <v>27</v>
      </c>
      <c r="F12">
        <v>1110</v>
      </c>
      <c r="G12">
        <v>1.9557640130525609E-2</v>
      </c>
      <c r="H12">
        <v>150</v>
      </c>
      <c r="I12">
        <v>5.23</v>
      </c>
      <c r="J12">
        <f t="shared" si="0"/>
        <v>1.046</v>
      </c>
      <c r="K12">
        <f t="shared" si="1"/>
        <v>26.150000000000002</v>
      </c>
      <c r="L12">
        <v>0.99999999999999989</v>
      </c>
    </row>
    <row r="13" spans="1:12" x14ac:dyDescent="0.25">
      <c r="A13" t="s">
        <v>12</v>
      </c>
      <c r="B13" t="s">
        <v>13</v>
      </c>
      <c r="C13" t="s">
        <v>28</v>
      </c>
      <c r="F13">
        <v>1110</v>
      </c>
      <c r="G13">
        <v>1.8345766216363638E-2</v>
      </c>
      <c r="H13">
        <v>75</v>
      </c>
      <c r="I13">
        <v>0.38</v>
      </c>
      <c r="J13">
        <f t="shared" si="0"/>
        <v>7.5999999999999998E-2</v>
      </c>
      <c r="K13">
        <f t="shared" si="1"/>
        <v>1.9</v>
      </c>
      <c r="L13">
        <v>1</v>
      </c>
    </row>
    <row r="14" spans="1:12" x14ac:dyDescent="0.25">
      <c r="A14" t="s">
        <v>12</v>
      </c>
      <c r="B14" t="s">
        <v>13</v>
      </c>
      <c r="C14" t="s">
        <v>29</v>
      </c>
      <c r="F14">
        <v>1110</v>
      </c>
      <c r="G14">
        <v>4.167100340992818E-2</v>
      </c>
      <c r="H14">
        <v>150</v>
      </c>
      <c r="I14">
        <v>5.99</v>
      </c>
      <c r="J14">
        <f t="shared" si="0"/>
        <v>1.198</v>
      </c>
      <c r="K14">
        <f t="shared" si="1"/>
        <v>29.950000000000003</v>
      </c>
      <c r="L14">
        <v>0.99999999999999989</v>
      </c>
    </row>
    <row r="15" spans="1:12" x14ac:dyDescent="0.25">
      <c r="A15" t="s">
        <v>12</v>
      </c>
      <c r="B15" t="s">
        <v>13</v>
      </c>
      <c r="C15" t="s">
        <v>30</v>
      </c>
      <c r="F15">
        <v>1110</v>
      </c>
      <c r="G15">
        <v>9.1902970802922087E-3</v>
      </c>
      <c r="H15">
        <v>45</v>
      </c>
      <c r="I15">
        <v>1.4</v>
      </c>
      <c r="J15">
        <f t="shared" si="0"/>
        <v>0.27999999999999997</v>
      </c>
      <c r="K15">
        <f t="shared" si="1"/>
        <v>7</v>
      </c>
      <c r="L15">
        <v>1</v>
      </c>
    </row>
    <row r="16" spans="1:12" x14ac:dyDescent="0.25">
      <c r="A16" t="s">
        <v>12</v>
      </c>
      <c r="B16" t="s">
        <v>13</v>
      </c>
      <c r="C16" t="s">
        <v>31</v>
      </c>
      <c r="F16">
        <v>1110</v>
      </c>
      <c r="G16">
        <v>4.7023695083636359E-2</v>
      </c>
      <c r="H16">
        <v>60</v>
      </c>
      <c r="I16">
        <v>1.33</v>
      </c>
      <c r="J16">
        <f t="shared" si="0"/>
        <v>0.26600000000000001</v>
      </c>
      <c r="K16">
        <f t="shared" si="1"/>
        <v>6.65</v>
      </c>
      <c r="L16">
        <v>1</v>
      </c>
    </row>
    <row r="17" spans="1:12" x14ac:dyDescent="0.25">
      <c r="A17" t="s">
        <v>12</v>
      </c>
      <c r="B17" t="s">
        <v>13</v>
      </c>
      <c r="C17" t="s">
        <v>32</v>
      </c>
      <c r="F17">
        <v>1110</v>
      </c>
      <c r="G17">
        <v>3.0736454406363632E-3</v>
      </c>
      <c r="H17">
        <v>30</v>
      </c>
      <c r="I17">
        <v>0.96</v>
      </c>
      <c r="J17">
        <f t="shared" si="0"/>
        <v>0.192</v>
      </c>
      <c r="K17">
        <f t="shared" si="1"/>
        <v>4.8</v>
      </c>
      <c r="L17">
        <v>1</v>
      </c>
    </row>
    <row r="18" spans="1:12" x14ac:dyDescent="0.25">
      <c r="A18" t="s">
        <v>12</v>
      </c>
      <c r="B18" t="s">
        <v>13</v>
      </c>
      <c r="C18" t="s">
        <v>33</v>
      </c>
      <c r="D18" t="s">
        <v>33</v>
      </c>
      <c r="F18">
        <v>1110</v>
      </c>
      <c r="G18">
        <v>0.16449251209859089</v>
      </c>
      <c r="H18">
        <v>30</v>
      </c>
      <c r="I18">
        <v>25.77</v>
      </c>
      <c r="J18">
        <f t="shared" si="0"/>
        <v>5.1539999999999999</v>
      </c>
      <c r="K18">
        <f t="shared" si="1"/>
        <v>128.85</v>
      </c>
      <c r="L18">
        <v>1</v>
      </c>
    </row>
    <row r="19" spans="1:12" x14ac:dyDescent="0.25">
      <c r="A19" t="s">
        <v>12</v>
      </c>
      <c r="B19" t="s">
        <v>13</v>
      </c>
      <c r="C19" t="s">
        <v>24</v>
      </c>
      <c r="D19" t="s">
        <v>34</v>
      </c>
      <c r="F19">
        <v>1110</v>
      </c>
      <c r="G19">
        <v>9.3195923561693747E-2</v>
      </c>
      <c r="H19">
        <v>135</v>
      </c>
      <c r="I19">
        <v>20.41</v>
      </c>
      <c r="J19">
        <f t="shared" si="0"/>
        <v>4.0819999999999999</v>
      </c>
      <c r="K19">
        <f t="shared" si="1"/>
        <v>102.05</v>
      </c>
      <c r="L19">
        <v>0.99999999999999989</v>
      </c>
    </row>
    <row r="20" spans="1:12" x14ac:dyDescent="0.25">
      <c r="A20" t="s">
        <v>12</v>
      </c>
      <c r="B20" t="s">
        <v>35</v>
      </c>
      <c r="C20" t="s">
        <v>14</v>
      </c>
      <c r="D20" t="s">
        <v>36</v>
      </c>
      <c r="F20">
        <v>1110</v>
      </c>
      <c r="G20">
        <v>3.5496012442456709E-3</v>
      </c>
      <c r="H20">
        <v>180</v>
      </c>
      <c r="I20">
        <v>3.06</v>
      </c>
      <c r="J20">
        <f t="shared" si="0"/>
        <v>0.61199999999999999</v>
      </c>
      <c r="K20">
        <f t="shared" si="1"/>
        <v>15.3</v>
      </c>
      <c r="L20">
        <v>0.99999999999999989</v>
      </c>
    </row>
    <row r="21" spans="1:12" x14ac:dyDescent="0.25">
      <c r="A21" t="s">
        <v>12</v>
      </c>
      <c r="B21" t="s">
        <v>35</v>
      </c>
      <c r="C21" t="s">
        <v>14</v>
      </c>
      <c r="D21" t="s">
        <v>15</v>
      </c>
      <c r="F21">
        <v>1110</v>
      </c>
      <c r="G21">
        <v>3.310568078721138E-3</v>
      </c>
      <c r="H21">
        <v>135</v>
      </c>
      <c r="I21">
        <v>3.13</v>
      </c>
      <c r="J21">
        <f t="shared" si="0"/>
        <v>0.626</v>
      </c>
      <c r="K21">
        <f t="shared" si="1"/>
        <v>15.649999999999999</v>
      </c>
      <c r="L21">
        <v>0.99999999999999989</v>
      </c>
    </row>
    <row r="22" spans="1:12" x14ac:dyDescent="0.25">
      <c r="A22" t="s">
        <v>12</v>
      </c>
      <c r="B22" t="s">
        <v>35</v>
      </c>
      <c r="C22" t="s">
        <v>14</v>
      </c>
      <c r="D22" t="s">
        <v>37</v>
      </c>
      <c r="F22">
        <v>1110</v>
      </c>
      <c r="G22">
        <v>7.5466234850330458E-4</v>
      </c>
      <c r="H22">
        <v>180</v>
      </c>
      <c r="I22">
        <v>1.35</v>
      </c>
      <c r="J22">
        <f t="shared" si="0"/>
        <v>0.27</v>
      </c>
      <c r="K22">
        <f t="shared" si="1"/>
        <v>6.75</v>
      </c>
      <c r="L22">
        <v>0.99999999999999989</v>
      </c>
    </row>
    <row r="23" spans="1:12" x14ac:dyDescent="0.25">
      <c r="A23" t="s">
        <v>12</v>
      </c>
      <c r="B23" t="s">
        <v>35</v>
      </c>
      <c r="C23" t="s">
        <v>14</v>
      </c>
      <c r="D23" t="s">
        <v>38</v>
      </c>
      <c r="F23">
        <v>1110</v>
      </c>
      <c r="G23">
        <v>2.1493282192341599E-5</v>
      </c>
      <c r="H23">
        <v>120</v>
      </c>
      <c r="I23">
        <v>0.09</v>
      </c>
      <c r="J23">
        <f t="shared" si="0"/>
        <v>1.7999999999999999E-2</v>
      </c>
      <c r="K23">
        <f t="shared" si="1"/>
        <v>0.44999999999999996</v>
      </c>
      <c r="L23">
        <v>0.99999999999999989</v>
      </c>
    </row>
    <row r="24" spans="1:12" x14ac:dyDescent="0.25">
      <c r="A24" t="s">
        <v>12</v>
      </c>
      <c r="B24" t="s">
        <v>35</v>
      </c>
      <c r="C24" t="s">
        <v>14</v>
      </c>
      <c r="D24" t="s">
        <v>39</v>
      </c>
      <c r="F24">
        <v>1110</v>
      </c>
      <c r="G24">
        <v>9.8511150522727284E-3</v>
      </c>
      <c r="H24">
        <v>210</v>
      </c>
      <c r="I24">
        <v>11.76</v>
      </c>
      <c r="J24">
        <f t="shared" si="0"/>
        <v>2.3519999999999999</v>
      </c>
      <c r="K24">
        <f t="shared" si="1"/>
        <v>58.8</v>
      </c>
      <c r="L24">
        <v>1</v>
      </c>
    </row>
    <row r="25" spans="1:12" x14ac:dyDescent="0.25">
      <c r="A25" t="s">
        <v>12</v>
      </c>
      <c r="B25" t="s">
        <v>35</v>
      </c>
      <c r="C25" t="s">
        <v>40</v>
      </c>
      <c r="D25" t="s">
        <v>41</v>
      </c>
      <c r="F25">
        <v>1110</v>
      </c>
      <c r="G25">
        <v>1.204592005151515E-2</v>
      </c>
      <c r="H25">
        <v>15</v>
      </c>
      <c r="I25">
        <v>2.11</v>
      </c>
      <c r="J25">
        <f t="shared" si="0"/>
        <v>0.42199999999999999</v>
      </c>
      <c r="K25">
        <f t="shared" si="1"/>
        <v>10.549999999999999</v>
      </c>
      <c r="L25">
        <v>1</v>
      </c>
    </row>
    <row r="26" spans="1:12" x14ac:dyDescent="0.25">
      <c r="A26" t="s">
        <v>12</v>
      </c>
      <c r="B26" t="s">
        <v>35</v>
      </c>
      <c r="C26" t="s">
        <v>40</v>
      </c>
      <c r="D26" t="s">
        <v>42</v>
      </c>
      <c r="F26">
        <v>1110</v>
      </c>
      <c r="G26">
        <v>4.6964940469696972E-4</v>
      </c>
      <c r="H26">
        <v>15</v>
      </c>
      <c r="I26">
        <v>0.18</v>
      </c>
      <c r="J26">
        <f t="shared" si="0"/>
        <v>3.5999999999999997E-2</v>
      </c>
      <c r="K26">
        <f t="shared" si="1"/>
        <v>0.89999999999999991</v>
      </c>
      <c r="L26">
        <v>1</v>
      </c>
    </row>
    <row r="27" spans="1:12" x14ac:dyDescent="0.25">
      <c r="A27" t="s">
        <v>12</v>
      </c>
      <c r="B27" t="s">
        <v>35</v>
      </c>
      <c r="C27" t="s">
        <v>40</v>
      </c>
      <c r="D27" t="s">
        <v>43</v>
      </c>
      <c r="F27">
        <v>1110</v>
      </c>
      <c r="G27">
        <v>6.9638690021818182E-3</v>
      </c>
      <c r="H27">
        <v>15</v>
      </c>
      <c r="I27">
        <v>0.71</v>
      </c>
      <c r="J27">
        <f t="shared" si="0"/>
        <v>0.14199999999999999</v>
      </c>
      <c r="K27">
        <f t="shared" si="1"/>
        <v>3.55</v>
      </c>
      <c r="L27">
        <v>1</v>
      </c>
    </row>
    <row r="28" spans="1:12" x14ac:dyDescent="0.25">
      <c r="A28" t="s">
        <v>12</v>
      </c>
      <c r="B28" t="s">
        <v>35</v>
      </c>
      <c r="C28" t="s">
        <v>40</v>
      </c>
      <c r="D28" t="s">
        <v>44</v>
      </c>
      <c r="F28">
        <v>1110</v>
      </c>
      <c r="G28">
        <v>2.8880445955000011E-2</v>
      </c>
      <c r="H28">
        <v>15</v>
      </c>
      <c r="I28">
        <v>6.92</v>
      </c>
      <c r="J28">
        <f t="shared" si="0"/>
        <v>1.3839999999999999</v>
      </c>
      <c r="K28">
        <f t="shared" si="1"/>
        <v>34.6</v>
      </c>
      <c r="L28">
        <v>1</v>
      </c>
    </row>
    <row r="29" spans="1:12" x14ac:dyDescent="0.25">
      <c r="A29" t="s">
        <v>12</v>
      </c>
      <c r="B29" t="s">
        <v>35</v>
      </c>
      <c r="C29" t="s">
        <v>40</v>
      </c>
      <c r="D29" t="s">
        <v>45</v>
      </c>
      <c r="F29">
        <v>1110</v>
      </c>
      <c r="G29">
        <v>3.5475137878787898E-4</v>
      </c>
      <c r="H29">
        <v>15</v>
      </c>
      <c r="I29">
        <v>0.11</v>
      </c>
      <c r="J29">
        <f t="shared" si="0"/>
        <v>2.1999999999999999E-2</v>
      </c>
      <c r="K29">
        <f t="shared" si="1"/>
        <v>0.55000000000000004</v>
      </c>
      <c r="L29">
        <v>1</v>
      </c>
    </row>
    <row r="30" spans="1:12" x14ac:dyDescent="0.25">
      <c r="A30" t="s">
        <v>12</v>
      </c>
      <c r="B30" t="s">
        <v>35</v>
      </c>
      <c r="C30" t="s">
        <v>40</v>
      </c>
      <c r="D30" t="s">
        <v>46</v>
      </c>
      <c r="F30">
        <v>1110</v>
      </c>
      <c r="G30">
        <v>3.1307106449999988E-3</v>
      </c>
      <c r="H30">
        <v>15</v>
      </c>
      <c r="I30">
        <v>0.94</v>
      </c>
      <c r="J30">
        <f t="shared" si="0"/>
        <v>0.188</v>
      </c>
      <c r="K30">
        <f t="shared" si="1"/>
        <v>4.6999999999999993</v>
      </c>
      <c r="L30">
        <v>1</v>
      </c>
    </row>
    <row r="31" spans="1:12" x14ac:dyDescent="0.25">
      <c r="A31" t="s">
        <v>12</v>
      </c>
      <c r="B31" t="s">
        <v>35</v>
      </c>
      <c r="C31" t="s">
        <v>40</v>
      </c>
      <c r="D31" t="s">
        <v>47</v>
      </c>
      <c r="F31">
        <v>1110</v>
      </c>
      <c r="G31">
        <v>1.5444694826969699E-2</v>
      </c>
      <c r="H31">
        <v>15</v>
      </c>
      <c r="I31">
        <v>3.38</v>
      </c>
      <c r="J31">
        <f t="shared" si="0"/>
        <v>0.67599999999999993</v>
      </c>
      <c r="K31">
        <f t="shared" si="1"/>
        <v>16.899999999999999</v>
      </c>
      <c r="L31">
        <v>1</v>
      </c>
    </row>
    <row r="32" spans="1:12" x14ac:dyDescent="0.25">
      <c r="A32" t="s">
        <v>12</v>
      </c>
      <c r="B32" t="s">
        <v>35</v>
      </c>
      <c r="C32" t="s">
        <v>40</v>
      </c>
      <c r="D32" t="s">
        <v>48</v>
      </c>
      <c r="F32">
        <v>1110</v>
      </c>
      <c r="G32">
        <v>1.559051081333333E-2</v>
      </c>
      <c r="H32">
        <v>15</v>
      </c>
      <c r="I32">
        <v>2.74</v>
      </c>
      <c r="J32">
        <f t="shared" si="0"/>
        <v>0.54800000000000004</v>
      </c>
      <c r="K32">
        <f t="shared" si="1"/>
        <v>13.700000000000001</v>
      </c>
      <c r="L32">
        <v>1</v>
      </c>
    </row>
    <row r="33" spans="1:12" x14ac:dyDescent="0.25">
      <c r="A33" t="s">
        <v>12</v>
      </c>
      <c r="B33" t="s">
        <v>35</v>
      </c>
      <c r="C33" t="s">
        <v>49</v>
      </c>
      <c r="D33" t="s">
        <v>15</v>
      </c>
      <c r="F33">
        <v>1110</v>
      </c>
      <c r="G33">
        <v>2.7412032883060471E-2</v>
      </c>
      <c r="H33">
        <v>165</v>
      </c>
      <c r="I33">
        <v>7.28</v>
      </c>
      <c r="J33">
        <f t="shared" si="0"/>
        <v>1.456</v>
      </c>
      <c r="K33">
        <f t="shared" si="1"/>
        <v>36.4</v>
      </c>
      <c r="L33">
        <v>0.99999999999999989</v>
      </c>
    </row>
    <row r="34" spans="1:12" x14ac:dyDescent="0.25">
      <c r="A34" t="s">
        <v>12</v>
      </c>
      <c r="B34" t="s">
        <v>35</v>
      </c>
      <c r="C34" t="s">
        <v>49</v>
      </c>
      <c r="D34" t="s">
        <v>50</v>
      </c>
      <c r="F34">
        <v>1110</v>
      </c>
      <c r="G34">
        <v>3.0545305390442751E-3</v>
      </c>
      <c r="H34">
        <v>150</v>
      </c>
      <c r="I34">
        <v>1.58</v>
      </c>
      <c r="J34">
        <f t="shared" si="0"/>
        <v>0.316</v>
      </c>
      <c r="K34">
        <f t="shared" si="1"/>
        <v>7.9</v>
      </c>
      <c r="L34">
        <v>0.99999999999999989</v>
      </c>
    </row>
    <row r="35" spans="1:12" x14ac:dyDescent="0.25">
      <c r="A35" t="s">
        <v>12</v>
      </c>
      <c r="B35" t="s">
        <v>35</v>
      </c>
      <c r="C35" t="s">
        <v>49</v>
      </c>
      <c r="D35" t="s">
        <v>51</v>
      </c>
      <c r="F35">
        <v>1110</v>
      </c>
      <c r="G35">
        <v>3.1093870723987609E-2</v>
      </c>
      <c r="H35">
        <v>195</v>
      </c>
      <c r="I35">
        <v>13.08</v>
      </c>
      <c r="J35">
        <f t="shared" si="0"/>
        <v>2.6160000000000001</v>
      </c>
      <c r="K35">
        <f t="shared" si="1"/>
        <v>65.400000000000006</v>
      </c>
      <c r="L35">
        <v>1</v>
      </c>
    </row>
    <row r="36" spans="1:12" x14ac:dyDescent="0.25">
      <c r="A36" t="s">
        <v>12</v>
      </c>
      <c r="B36" t="s">
        <v>35</v>
      </c>
      <c r="C36" t="s">
        <v>52</v>
      </c>
      <c r="D36" t="s">
        <v>53</v>
      </c>
      <c r="F36">
        <v>1110</v>
      </c>
      <c r="G36">
        <v>4.8723862778030291E-3</v>
      </c>
      <c r="H36">
        <v>15</v>
      </c>
      <c r="I36">
        <v>2.17</v>
      </c>
      <c r="J36">
        <f t="shared" si="0"/>
        <v>0.434</v>
      </c>
      <c r="K36">
        <f t="shared" si="1"/>
        <v>10.85</v>
      </c>
      <c r="L36">
        <v>1</v>
      </c>
    </row>
    <row r="37" spans="1:12" x14ac:dyDescent="0.25">
      <c r="A37" t="s">
        <v>12</v>
      </c>
      <c r="B37" t="s">
        <v>35</v>
      </c>
      <c r="C37" t="s">
        <v>52</v>
      </c>
      <c r="D37" t="s">
        <v>54</v>
      </c>
      <c r="F37">
        <v>1110</v>
      </c>
      <c r="G37">
        <v>9.4780501882575745E-3</v>
      </c>
      <c r="H37">
        <v>15</v>
      </c>
      <c r="I37">
        <v>3.34</v>
      </c>
      <c r="J37">
        <f t="shared" si="0"/>
        <v>0.66799999999999993</v>
      </c>
      <c r="K37">
        <f t="shared" si="1"/>
        <v>16.7</v>
      </c>
      <c r="L37">
        <v>1</v>
      </c>
    </row>
    <row r="38" spans="1:12" x14ac:dyDescent="0.25">
      <c r="A38" t="s">
        <v>12</v>
      </c>
      <c r="B38" t="s">
        <v>35</v>
      </c>
      <c r="C38" t="s">
        <v>52</v>
      </c>
      <c r="D38" t="s">
        <v>55</v>
      </c>
      <c r="F38">
        <v>1110</v>
      </c>
      <c r="G38">
        <v>7.6388211491498137E-3</v>
      </c>
      <c r="H38">
        <v>855</v>
      </c>
      <c r="I38">
        <v>3</v>
      </c>
      <c r="J38">
        <f t="shared" si="0"/>
        <v>0.6</v>
      </c>
      <c r="K38">
        <f t="shared" si="1"/>
        <v>15</v>
      </c>
      <c r="L38">
        <v>0.99999999999999922</v>
      </c>
    </row>
    <row r="39" spans="1:12" x14ac:dyDescent="0.25">
      <c r="A39" t="s">
        <v>12</v>
      </c>
      <c r="B39" t="s">
        <v>35</v>
      </c>
      <c r="C39" t="s">
        <v>52</v>
      </c>
      <c r="D39" t="s">
        <v>56</v>
      </c>
      <c r="F39">
        <v>1110</v>
      </c>
      <c r="G39">
        <v>9.2693726998484861E-3</v>
      </c>
      <c r="H39">
        <v>225</v>
      </c>
      <c r="I39">
        <v>3.97</v>
      </c>
      <c r="J39">
        <f t="shared" si="0"/>
        <v>0.79400000000000004</v>
      </c>
      <c r="K39">
        <f t="shared" si="1"/>
        <v>19.850000000000001</v>
      </c>
      <c r="L39">
        <v>1</v>
      </c>
    </row>
    <row r="40" spans="1:12" x14ac:dyDescent="0.25">
      <c r="A40" t="s">
        <v>12</v>
      </c>
      <c r="B40" t="s">
        <v>35</v>
      </c>
      <c r="C40" t="s">
        <v>29</v>
      </c>
      <c r="F40">
        <v>1110</v>
      </c>
      <c r="G40">
        <v>7.9568880559806987E-2</v>
      </c>
      <c r="H40">
        <v>975</v>
      </c>
      <c r="I40">
        <v>31.15</v>
      </c>
      <c r="J40">
        <f t="shared" si="0"/>
        <v>6.2299999999999995</v>
      </c>
      <c r="K40">
        <f t="shared" si="1"/>
        <v>155.75</v>
      </c>
      <c r="L40">
        <v>0.99999999999999889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Chhajed</dc:creator>
  <cp:lastModifiedBy>Shubham Chhajed</cp:lastModifiedBy>
  <dcterms:created xsi:type="dcterms:W3CDTF">2020-08-27T02:50:41Z</dcterms:created>
  <dcterms:modified xsi:type="dcterms:W3CDTF">2025-04-14T07:29:10Z</dcterms:modified>
</cp:coreProperties>
</file>